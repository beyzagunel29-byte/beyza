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_Veri_Seti" sheetId="1" state="visible" r:id="rId1"/>
    <sheet xmlns:r="http://schemas.openxmlformats.org/officeDocument/2006/relationships" name="Kanal_Ozet" sheetId="2" state="visible" r:id="rId2"/>
    <sheet xmlns:r="http://schemas.openxmlformats.org/officeDocument/2006/relationships" name="Degisken_Aciklamala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9C6500"/>
      <sz val="9"/>
    </font>
    <font>
      <name val="Arial"/>
      <b val="1"/>
      <color rgb="009C0006"/>
      <sz val="9"/>
    </font>
    <font>
      <name val="Arial"/>
      <b val="1"/>
      <color rgb="00000000"/>
      <sz val="9"/>
    </font>
    <font>
      <name val="Arial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833C00"/>
        <bgColor rgb="00833C00"/>
      </patternFill>
    </fill>
    <fill>
      <patternFill patternType="solid">
        <fgColor rgb="0044546A"/>
        <bgColor rgb="0044546A"/>
      </patternFill>
    </fill>
    <fill>
      <patternFill patternType="solid">
        <fgColor rgb="007030A0"/>
        <bgColor rgb="007030A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2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3" fontId="3" fillId="9" borderId="1" applyAlignment="1" pivotButton="0" quotePrefix="0" xfId="0">
      <alignment horizontal="center" vertical="center"/>
    </xf>
    <xf numFmtId="2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3" fontId="6" fillId="12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3" fontId="3" fillId="14" borderId="1" applyAlignment="1" pivotButton="0" quotePrefix="0" xfId="0">
      <alignment horizontal="center" vertical="center"/>
    </xf>
    <xf numFmtId="164" fontId="3" fillId="14" borderId="1" applyAlignment="1" pivotButton="0" quotePrefix="0" xfId="0">
      <alignment horizontal="center" vertical="center"/>
    </xf>
    <xf numFmtId="165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3" fontId="3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0" customWidth="1" min="4" max="4"/>
    <col width="14" customWidth="1" min="5" max="5"/>
    <col width="16" customWidth="1" min="6" max="6"/>
    <col width="15" customWidth="1" min="7" max="7"/>
    <col width="15" customWidth="1" min="8" max="8"/>
    <col width="22" customWidth="1" min="9" max="9"/>
    <col width="8" customWidth="1" min="10" max="10"/>
    <col width="12" customWidth="1" min="11" max="11"/>
    <col width="11" customWidth="1" min="12" max="12"/>
    <col width="9" customWidth="1" min="13" max="13"/>
    <col width="14" customWidth="1" min="14" max="14"/>
    <col width="14" customWidth="1" min="15" max="15"/>
  </cols>
  <sheetData>
    <row r="1" ht="28" customHeight="1">
      <c r="A1" s="1" t="inlineStr">
        <is>
          <t>DİJİTAL REKLAM BÜTÇESİ OPTİMİZASYONU — VERİ SETİ (Ocak 2024 – Aralık 2025, Aylık)</t>
        </is>
      </c>
    </row>
    <row r="2" ht="18" customHeight="1">
      <c r="A2" s="2" t="inlineStr">
        <is>
          <t>Dönem</t>
        </is>
      </c>
      <c r="B2" s="3" t="inlineStr">
        <is>
          <t>📈 SATIŞ VERİLERİ</t>
        </is>
      </c>
      <c r="C2" s="4" t="inlineStr">
        <is>
          <t>💰 REKLAM HARCAMALARI (TL)</t>
        </is>
      </c>
      <c r="I2" s="5" t="inlineStr">
        <is>
          <t>📊 TOPLAM &amp; VERİMLİLİK</t>
        </is>
      </c>
      <c r="K2" s="6" t="inlineStr">
        <is>
          <t>🔧 KONTROL DEĞİŞKENLERİ</t>
        </is>
      </c>
    </row>
    <row r="3" ht="32" customHeight="1">
      <c r="A3" s="7" t="inlineStr">
        <is>
          <t>Ay</t>
        </is>
      </c>
      <c r="B3" s="8" t="inlineStr">
        <is>
          <t>Ciro (TL)</t>
        </is>
      </c>
      <c r="C3" s="9" t="inlineStr">
        <is>
          <t>Google Ads (TL)</t>
        </is>
      </c>
      <c r="D3" s="9" t="inlineStr">
        <is>
          <t>Meta / Instagram (TL)</t>
        </is>
      </c>
      <c r="E3" s="9" t="inlineStr">
        <is>
          <t>YouTube (TL)</t>
        </is>
      </c>
      <c r="F3" s="9" t="inlineStr">
        <is>
          <t>Pazaryeri (TL)</t>
        </is>
      </c>
      <c r="G3" s="9" t="inlineStr">
        <is>
          <t>Influencer (TL)</t>
        </is>
      </c>
      <c r="H3" s="9" t="inlineStr">
        <is>
          <t>Twitter/X (TL)</t>
        </is>
      </c>
      <c r="I3" s="10" t="inlineStr">
        <is>
          <t>Toplam Harcama (TL)</t>
        </is>
      </c>
      <c r="J3" s="10" t="inlineStr">
        <is>
          <t>ROAS</t>
        </is>
      </c>
      <c r="K3" s="11" t="inlineStr">
        <is>
          <t>Kampanya
Dönemi</t>
        </is>
      </c>
      <c r="L3" s="11" t="inlineStr">
        <is>
          <t>Fiyat
Endeksi</t>
        </is>
      </c>
      <c r="M3" s="11" t="inlineStr">
        <is>
          <t>Stok
Yok</t>
        </is>
      </c>
      <c r="N3" s="11" t="inlineStr">
        <is>
          <t>Mevsimsellik</t>
        </is>
      </c>
    </row>
    <row r="4">
      <c r="A4" s="12" t="inlineStr">
        <is>
          <t>2024-01</t>
        </is>
      </c>
      <c r="B4" s="13" t="n">
        <v>519231</v>
      </c>
      <c r="C4" s="13" t="n">
        <v>65039</v>
      </c>
      <c r="D4" s="13" t="n">
        <v>51700</v>
      </c>
      <c r="E4" s="13" t="n">
        <v>27088</v>
      </c>
      <c r="F4" s="13" t="n">
        <v>41606</v>
      </c>
      <c r="G4" s="13" t="n">
        <v>24411</v>
      </c>
      <c r="H4" s="13" t="n">
        <v>12067</v>
      </c>
      <c r="I4" s="13" t="n">
        <v>221911</v>
      </c>
      <c r="J4" s="14" t="n">
        <v>2.34</v>
      </c>
      <c r="K4" s="12" t="n">
        <v>0</v>
      </c>
      <c r="L4" s="12" t="n">
        <v>101</v>
      </c>
      <c r="M4" s="12" t="n">
        <v>0</v>
      </c>
      <c r="N4" s="12" t="n">
        <v>0.8</v>
      </c>
    </row>
    <row r="5">
      <c r="A5" s="15" t="inlineStr">
        <is>
          <t>2024-02</t>
        </is>
      </c>
      <c r="B5" s="16" t="n">
        <v>416937</v>
      </c>
      <c r="C5" s="16" t="n">
        <v>67906</v>
      </c>
      <c r="D5" s="16" t="n">
        <v>55604</v>
      </c>
      <c r="E5" s="16" t="n">
        <v>31608</v>
      </c>
      <c r="F5" s="16" t="n">
        <v>44362</v>
      </c>
      <c r="G5" s="16" t="n">
        <v>21389</v>
      </c>
      <c r="H5" s="16" t="n">
        <v>14466</v>
      </c>
      <c r="I5" s="16" t="n">
        <v>235335</v>
      </c>
      <c r="J5" s="17" t="n">
        <v>1.77</v>
      </c>
      <c r="K5" s="15" t="n">
        <v>0</v>
      </c>
      <c r="L5" s="15" t="n">
        <v>101.7</v>
      </c>
      <c r="M5" s="15" t="n">
        <v>0</v>
      </c>
      <c r="N5" s="15" t="n">
        <v>0.78</v>
      </c>
    </row>
    <row r="6">
      <c r="A6" s="12" t="inlineStr">
        <is>
          <t>2024-03</t>
        </is>
      </c>
      <c r="B6" s="13" t="n">
        <v>508145</v>
      </c>
      <c r="C6" s="13" t="n">
        <v>67594</v>
      </c>
      <c r="D6" s="13" t="n">
        <v>58579</v>
      </c>
      <c r="E6" s="13" t="n">
        <v>35204</v>
      </c>
      <c r="F6" s="13" t="n">
        <v>49302</v>
      </c>
      <c r="G6" s="13" t="n">
        <v>26640</v>
      </c>
      <c r="H6" s="13" t="n">
        <v>14931</v>
      </c>
      <c r="I6" s="13" t="n">
        <v>252250</v>
      </c>
      <c r="J6" s="14" t="n">
        <v>2.01</v>
      </c>
      <c r="K6" s="12" t="n">
        <v>0</v>
      </c>
      <c r="L6" s="12" t="n">
        <v>105.2</v>
      </c>
      <c r="M6" s="12" t="n">
        <v>0</v>
      </c>
      <c r="N6" s="12" t="n">
        <v>0.85</v>
      </c>
    </row>
    <row r="7">
      <c r="A7" s="15" t="inlineStr">
        <is>
          <t>2024-04</t>
        </is>
      </c>
      <c r="B7" s="16" t="n">
        <v>572894</v>
      </c>
      <c r="C7" s="16" t="n">
        <v>82397</v>
      </c>
      <c r="D7" s="16" t="n">
        <v>58014</v>
      </c>
      <c r="E7" s="16" t="n">
        <v>45061</v>
      </c>
      <c r="F7" s="16" t="n">
        <v>48802</v>
      </c>
      <c r="G7" s="16" t="n">
        <v>29103</v>
      </c>
      <c r="H7" s="16" t="n">
        <v>18095</v>
      </c>
      <c r="I7" s="16" t="n">
        <v>281472</v>
      </c>
      <c r="J7" s="17" t="n">
        <v>2.04</v>
      </c>
      <c r="K7" s="15" t="n">
        <v>0</v>
      </c>
      <c r="L7" s="15" t="n">
        <v>108.9</v>
      </c>
      <c r="M7" s="15" t="n">
        <v>0</v>
      </c>
      <c r="N7" s="15" t="n">
        <v>0.9</v>
      </c>
    </row>
    <row r="8">
      <c r="A8" s="12" t="inlineStr">
        <is>
          <t>2024-05</t>
        </is>
      </c>
      <c r="B8" s="13" t="n">
        <v>608312</v>
      </c>
      <c r="C8" s="13" t="n">
        <v>81549</v>
      </c>
      <c r="D8" s="13" t="n">
        <v>67403</v>
      </c>
      <c r="E8" s="13" t="n">
        <v>39693</v>
      </c>
      <c r="F8" s="13" t="n">
        <v>63704</v>
      </c>
      <c r="G8" s="13" t="n">
        <v>28097</v>
      </c>
      <c r="H8" s="13" t="n">
        <v>16991</v>
      </c>
      <c r="I8" s="13" t="n">
        <v>297437</v>
      </c>
      <c r="J8" s="14" t="n">
        <v>2.05</v>
      </c>
      <c r="K8" s="12" t="n">
        <v>0</v>
      </c>
      <c r="L8" s="12" t="n">
        <v>107.4</v>
      </c>
      <c r="M8" s="12" t="n">
        <v>0</v>
      </c>
      <c r="N8" s="12" t="n">
        <v>0.95</v>
      </c>
    </row>
    <row r="9">
      <c r="A9" s="15" t="inlineStr">
        <is>
          <t>2024-06</t>
        </is>
      </c>
      <c r="B9" s="16" t="n">
        <v>875929</v>
      </c>
      <c r="C9" s="16" t="n">
        <v>137315</v>
      </c>
      <c r="D9" s="16" t="n">
        <v>105590</v>
      </c>
      <c r="E9" s="16" t="n">
        <v>59289</v>
      </c>
      <c r="F9" s="16" t="n">
        <v>90849</v>
      </c>
      <c r="G9" s="16" t="n">
        <v>47038</v>
      </c>
      <c r="H9" s="16" t="n">
        <v>27165</v>
      </c>
      <c r="I9" s="16" t="n">
        <v>467246</v>
      </c>
      <c r="J9" s="17" t="n">
        <v>1.87</v>
      </c>
      <c r="K9" s="18" t="n">
        <v>1</v>
      </c>
      <c r="L9" s="15" t="n">
        <v>109.3</v>
      </c>
      <c r="M9" s="15" t="n">
        <v>0</v>
      </c>
      <c r="N9" s="15" t="n">
        <v>1.1</v>
      </c>
    </row>
    <row r="10">
      <c r="A10" s="12" t="inlineStr">
        <is>
          <t>2024-07</t>
        </is>
      </c>
      <c r="B10" s="13" t="n">
        <v>687603</v>
      </c>
      <c r="C10" s="13" t="n">
        <v>101540</v>
      </c>
      <c r="D10" s="13" t="n">
        <v>81341</v>
      </c>
      <c r="E10" s="13" t="n">
        <v>50061</v>
      </c>
      <c r="F10" s="13" t="n">
        <v>62447</v>
      </c>
      <c r="G10" s="13" t="n">
        <v>37825</v>
      </c>
      <c r="H10" s="13" t="n">
        <v>23503</v>
      </c>
      <c r="I10" s="13" t="n">
        <v>356717</v>
      </c>
      <c r="J10" s="14" t="n">
        <v>1.93</v>
      </c>
      <c r="K10" s="12" t="n">
        <v>0</v>
      </c>
      <c r="L10" s="12" t="n">
        <v>114.9</v>
      </c>
      <c r="M10" s="19" t="n">
        <v>1</v>
      </c>
      <c r="N10" s="12" t="n">
        <v>1.15</v>
      </c>
    </row>
    <row r="11">
      <c r="A11" s="15" t="inlineStr">
        <is>
          <t>2024-08</t>
        </is>
      </c>
      <c r="B11" s="16" t="n">
        <v>1001998</v>
      </c>
      <c r="C11" s="16" t="n">
        <v>160658</v>
      </c>
      <c r="D11" s="16" t="n">
        <v>124830</v>
      </c>
      <c r="E11" s="16" t="n">
        <v>66225</v>
      </c>
      <c r="F11" s="16" t="n">
        <v>92613</v>
      </c>
      <c r="G11" s="16" t="n">
        <v>47708</v>
      </c>
      <c r="H11" s="16" t="n">
        <v>33815</v>
      </c>
      <c r="I11" s="16" t="n">
        <v>525849</v>
      </c>
      <c r="J11" s="17" t="n">
        <v>1.91</v>
      </c>
      <c r="K11" s="18" t="n">
        <v>1</v>
      </c>
      <c r="L11" s="15" t="n">
        <v>115.2</v>
      </c>
      <c r="M11" s="15" t="n">
        <v>0</v>
      </c>
      <c r="N11" s="15" t="n">
        <v>1.2</v>
      </c>
    </row>
    <row r="12">
      <c r="A12" s="12" t="inlineStr">
        <is>
          <t>2024-09</t>
        </is>
      </c>
      <c r="B12" s="13" t="n">
        <v>661493</v>
      </c>
      <c r="C12" s="13" t="n">
        <v>100007</v>
      </c>
      <c r="D12" s="13" t="n">
        <v>60514</v>
      </c>
      <c r="E12" s="13" t="n">
        <v>51420</v>
      </c>
      <c r="F12" s="13" t="n">
        <v>59729</v>
      </c>
      <c r="G12" s="13" t="n">
        <v>36346</v>
      </c>
      <c r="H12" s="13" t="n">
        <v>19165</v>
      </c>
      <c r="I12" s="13" t="n">
        <v>327181</v>
      </c>
      <c r="J12" s="14" t="n">
        <v>2.02</v>
      </c>
      <c r="K12" s="12" t="n">
        <v>0</v>
      </c>
      <c r="L12" s="12" t="n">
        <v>114.7</v>
      </c>
      <c r="M12" s="12" t="n">
        <v>0</v>
      </c>
      <c r="N12" s="12" t="n">
        <v>1.05</v>
      </c>
    </row>
    <row r="13">
      <c r="A13" s="15" t="inlineStr">
        <is>
          <t>2024-10</t>
        </is>
      </c>
      <c r="B13" s="16" t="n">
        <v>679061</v>
      </c>
      <c r="C13" s="16" t="n">
        <v>88464</v>
      </c>
      <c r="D13" s="16" t="n">
        <v>78761</v>
      </c>
      <c r="E13" s="16" t="n">
        <v>48214</v>
      </c>
      <c r="F13" s="16" t="n">
        <v>66470</v>
      </c>
      <c r="G13" s="16" t="n">
        <v>35639</v>
      </c>
      <c r="H13" s="16" t="n">
        <v>19918</v>
      </c>
      <c r="I13" s="16" t="n">
        <v>337466</v>
      </c>
      <c r="J13" s="17" t="n">
        <v>2.01</v>
      </c>
      <c r="K13" s="15" t="n">
        <v>0</v>
      </c>
      <c r="L13" s="15" t="n">
        <v>118.7</v>
      </c>
      <c r="M13" s="15" t="n">
        <v>0</v>
      </c>
      <c r="N13" s="15" t="n">
        <v>1</v>
      </c>
    </row>
    <row r="14">
      <c r="A14" s="12" t="inlineStr">
        <is>
          <t>2024-11</t>
        </is>
      </c>
      <c r="B14" s="13" t="n">
        <v>1124377</v>
      </c>
      <c r="C14" s="13" t="n">
        <v>175014</v>
      </c>
      <c r="D14" s="13" t="n">
        <v>113250</v>
      </c>
      <c r="E14" s="13" t="n">
        <v>83517</v>
      </c>
      <c r="F14" s="13" t="n">
        <v>120145</v>
      </c>
      <c r="G14" s="13" t="n">
        <v>64064</v>
      </c>
      <c r="H14" s="13" t="n">
        <v>31795</v>
      </c>
      <c r="I14" s="13" t="n">
        <v>587785</v>
      </c>
      <c r="J14" s="14" t="n">
        <v>1.91</v>
      </c>
      <c r="K14" s="18" t="n">
        <v>1</v>
      </c>
      <c r="L14" s="12" t="n">
        <v>118.6</v>
      </c>
      <c r="M14" s="12" t="n">
        <v>0</v>
      </c>
      <c r="N14" s="12" t="n">
        <v>1.25</v>
      </c>
    </row>
    <row r="15">
      <c r="A15" s="15" t="inlineStr">
        <is>
          <t>2024-12</t>
        </is>
      </c>
      <c r="B15" s="16" t="n">
        <v>1286991</v>
      </c>
      <c r="C15" s="16" t="n">
        <v>174723</v>
      </c>
      <c r="D15" s="16" t="n">
        <v>139844</v>
      </c>
      <c r="E15" s="16" t="n">
        <v>82311</v>
      </c>
      <c r="F15" s="16" t="n">
        <v>120980</v>
      </c>
      <c r="G15" s="16" t="n">
        <v>70042</v>
      </c>
      <c r="H15" s="16" t="n">
        <v>38266</v>
      </c>
      <c r="I15" s="16" t="n">
        <v>626166</v>
      </c>
      <c r="J15" s="17" t="n">
        <v>2.06</v>
      </c>
      <c r="K15" s="18" t="n">
        <v>1</v>
      </c>
      <c r="L15" s="15" t="n">
        <v>120.6</v>
      </c>
      <c r="M15" s="15" t="n">
        <v>0</v>
      </c>
      <c r="N15" s="15" t="n">
        <v>1.45</v>
      </c>
    </row>
    <row r="16">
      <c r="A16" s="12" t="inlineStr">
        <is>
          <t>2025-01</t>
        </is>
      </c>
      <c r="B16" s="13" t="n">
        <v>537092</v>
      </c>
      <c r="C16" s="13" t="n">
        <v>83805</v>
      </c>
      <c r="D16" s="13" t="n">
        <v>63496</v>
      </c>
      <c r="E16" s="13" t="n">
        <v>43143</v>
      </c>
      <c r="F16" s="13" t="n">
        <v>57446</v>
      </c>
      <c r="G16" s="13" t="n">
        <v>25886</v>
      </c>
      <c r="H16" s="13" t="n">
        <v>19921</v>
      </c>
      <c r="I16" s="13" t="n">
        <v>293697</v>
      </c>
      <c r="J16" s="14" t="n">
        <v>1.83</v>
      </c>
      <c r="K16" s="12" t="n">
        <v>0</v>
      </c>
      <c r="L16" s="12" t="n">
        <v>124</v>
      </c>
      <c r="M16" s="12" t="n">
        <v>0</v>
      </c>
      <c r="N16" s="12" t="n">
        <v>0.82</v>
      </c>
    </row>
    <row r="17">
      <c r="A17" s="15" t="inlineStr">
        <is>
          <t>2025-02</t>
        </is>
      </c>
      <c r="B17" s="16" t="n">
        <v>490302</v>
      </c>
      <c r="C17" s="16" t="n">
        <v>68683</v>
      </c>
      <c r="D17" s="16" t="n">
        <v>52383</v>
      </c>
      <c r="E17" s="16" t="n">
        <v>34032</v>
      </c>
      <c r="F17" s="16" t="n">
        <v>54445</v>
      </c>
      <c r="G17" s="16" t="n">
        <v>26591</v>
      </c>
      <c r="H17" s="16" t="n">
        <v>17808</v>
      </c>
      <c r="I17" s="16" t="n">
        <v>253942</v>
      </c>
      <c r="J17" s="17" t="n">
        <v>1.93</v>
      </c>
      <c r="K17" s="15" t="n">
        <v>0</v>
      </c>
      <c r="L17" s="15" t="n">
        <v>121.6</v>
      </c>
      <c r="M17" s="15" t="n">
        <v>0</v>
      </c>
      <c r="N17" s="15" t="n">
        <v>0.8</v>
      </c>
    </row>
    <row r="18">
      <c r="A18" s="12" t="inlineStr">
        <is>
          <t>2025-03</t>
        </is>
      </c>
      <c r="B18" s="13" t="n">
        <v>520290</v>
      </c>
      <c r="C18" s="13" t="n">
        <v>80173</v>
      </c>
      <c r="D18" s="13" t="n">
        <v>67392</v>
      </c>
      <c r="E18" s="13" t="n">
        <v>44196</v>
      </c>
      <c r="F18" s="13" t="n">
        <v>61861</v>
      </c>
      <c r="G18" s="13" t="n">
        <v>32965</v>
      </c>
      <c r="H18" s="13" t="n">
        <v>17080</v>
      </c>
      <c r="I18" s="13" t="n">
        <v>303667</v>
      </c>
      <c r="J18" s="14" t="n">
        <v>1.71</v>
      </c>
      <c r="K18" s="12" t="n">
        <v>0</v>
      </c>
      <c r="L18" s="12" t="n">
        <v>123.9</v>
      </c>
      <c r="M18" s="19" t="n">
        <v>1</v>
      </c>
      <c r="N18" s="12" t="n">
        <v>0.87</v>
      </c>
    </row>
    <row r="19">
      <c r="A19" s="15" t="inlineStr">
        <is>
          <t>2025-04</t>
        </is>
      </c>
      <c r="B19" s="16" t="n">
        <v>629074</v>
      </c>
      <c r="C19" s="16" t="n">
        <v>97563</v>
      </c>
      <c r="D19" s="16" t="n">
        <v>75548</v>
      </c>
      <c r="E19" s="16" t="n">
        <v>53121</v>
      </c>
      <c r="F19" s="16" t="n">
        <v>71581</v>
      </c>
      <c r="G19" s="16" t="n">
        <v>35293</v>
      </c>
      <c r="H19" s="16" t="n">
        <v>21834</v>
      </c>
      <c r="I19" s="16" t="n">
        <v>354940</v>
      </c>
      <c r="J19" s="17" t="n">
        <v>1.77</v>
      </c>
      <c r="K19" s="15" t="n">
        <v>0</v>
      </c>
      <c r="L19" s="15" t="n">
        <v>128.2</v>
      </c>
      <c r="M19" s="15" t="n">
        <v>0</v>
      </c>
      <c r="N19" s="15" t="n">
        <v>0.92</v>
      </c>
    </row>
    <row r="20">
      <c r="A20" s="12" t="inlineStr">
        <is>
          <t>2025-05</t>
        </is>
      </c>
      <c r="B20" s="13" t="n">
        <v>628356</v>
      </c>
      <c r="C20" s="13" t="n">
        <v>108582</v>
      </c>
      <c r="D20" s="13" t="n">
        <v>87671</v>
      </c>
      <c r="E20" s="13" t="n">
        <v>44424</v>
      </c>
      <c r="F20" s="13" t="n">
        <v>65037</v>
      </c>
      <c r="G20" s="13" t="n">
        <v>37676</v>
      </c>
      <c r="H20" s="13" t="n">
        <v>25397</v>
      </c>
      <c r="I20" s="13" t="n">
        <v>368787</v>
      </c>
      <c r="J20" s="14" t="n">
        <v>1.7</v>
      </c>
      <c r="K20" s="12" t="n">
        <v>0</v>
      </c>
      <c r="L20" s="12" t="n">
        <v>129.3</v>
      </c>
      <c r="M20" s="12" t="n">
        <v>0</v>
      </c>
      <c r="N20" s="12" t="n">
        <v>0.97</v>
      </c>
    </row>
    <row r="21">
      <c r="A21" s="15" t="inlineStr">
        <is>
          <t>2025-06</t>
        </is>
      </c>
      <c r="B21" s="16" t="n">
        <v>944268</v>
      </c>
      <c r="C21" s="16" t="n">
        <v>160907</v>
      </c>
      <c r="D21" s="16" t="n">
        <v>111078</v>
      </c>
      <c r="E21" s="16" t="n">
        <v>71418</v>
      </c>
      <c r="F21" s="16" t="n">
        <v>101519</v>
      </c>
      <c r="G21" s="16" t="n">
        <v>67337</v>
      </c>
      <c r="H21" s="16" t="n">
        <v>36495</v>
      </c>
      <c r="I21" s="16" t="n">
        <v>548754</v>
      </c>
      <c r="J21" s="17" t="n">
        <v>1.72</v>
      </c>
      <c r="K21" s="18" t="n">
        <v>1</v>
      </c>
      <c r="L21" s="15" t="n">
        <v>133.9</v>
      </c>
      <c r="M21" s="15" t="n">
        <v>0</v>
      </c>
      <c r="N21" s="15" t="n">
        <v>1.12</v>
      </c>
    </row>
    <row r="22">
      <c r="A22" s="12" t="inlineStr">
        <is>
          <t>2025-07</t>
        </is>
      </c>
      <c r="B22" s="13" t="n">
        <v>861851</v>
      </c>
      <c r="C22" s="13" t="n">
        <v>126591</v>
      </c>
      <c r="D22" s="13" t="n">
        <v>91389</v>
      </c>
      <c r="E22" s="13" t="n">
        <v>60608</v>
      </c>
      <c r="F22" s="13" t="n">
        <v>76794</v>
      </c>
      <c r="G22" s="13" t="n">
        <v>47156</v>
      </c>
      <c r="H22" s="13" t="n">
        <v>23769</v>
      </c>
      <c r="I22" s="13" t="n">
        <v>426307</v>
      </c>
      <c r="J22" s="14" t="n">
        <v>2.02</v>
      </c>
      <c r="K22" s="12" t="n">
        <v>0</v>
      </c>
      <c r="L22" s="12" t="n">
        <v>133.4</v>
      </c>
      <c r="M22" s="12" t="n">
        <v>0</v>
      </c>
      <c r="N22" s="12" t="n">
        <v>1.18</v>
      </c>
    </row>
    <row r="23">
      <c r="A23" s="15" t="inlineStr">
        <is>
          <t>2025-08</t>
        </is>
      </c>
      <c r="B23" s="16" t="n">
        <v>1095150</v>
      </c>
      <c r="C23" s="16" t="n">
        <v>158214</v>
      </c>
      <c r="D23" s="16" t="n">
        <v>131546</v>
      </c>
      <c r="E23" s="16" t="n">
        <v>76668</v>
      </c>
      <c r="F23" s="16" t="n">
        <v>110820</v>
      </c>
      <c r="G23" s="16" t="n">
        <v>67232</v>
      </c>
      <c r="H23" s="16" t="n">
        <v>35843</v>
      </c>
      <c r="I23" s="16" t="n">
        <v>580323</v>
      </c>
      <c r="J23" s="17" t="n">
        <v>1.89</v>
      </c>
      <c r="K23" s="18" t="n">
        <v>1</v>
      </c>
      <c r="L23" s="15" t="n">
        <v>134.3</v>
      </c>
      <c r="M23" s="15" t="n">
        <v>0</v>
      </c>
      <c r="N23" s="15" t="n">
        <v>1.22</v>
      </c>
    </row>
    <row r="24">
      <c r="A24" s="12" t="inlineStr">
        <is>
          <t>2025-09</t>
        </is>
      </c>
      <c r="B24" s="13" t="n">
        <v>737438</v>
      </c>
      <c r="C24" s="13" t="n">
        <v>104599</v>
      </c>
      <c r="D24" s="13" t="n">
        <v>97361</v>
      </c>
      <c r="E24" s="13" t="n">
        <v>48901</v>
      </c>
      <c r="F24" s="13" t="n">
        <v>76287</v>
      </c>
      <c r="G24" s="13" t="n">
        <v>45065</v>
      </c>
      <c r="H24" s="13" t="n">
        <v>27668</v>
      </c>
      <c r="I24" s="13" t="n">
        <v>399881</v>
      </c>
      <c r="J24" s="14" t="n">
        <v>1.84</v>
      </c>
      <c r="K24" s="12" t="n">
        <v>0</v>
      </c>
      <c r="L24" s="12" t="n">
        <v>142.1</v>
      </c>
      <c r="M24" s="12" t="n">
        <v>0</v>
      </c>
      <c r="N24" s="12" t="n">
        <v>1.07</v>
      </c>
    </row>
    <row r="25">
      <c r="A25" s="15" t="inlineStr">
        <is>
          <t>2025-10</t>
        </is>
      </c>
      <c r="B25" s="16" t="n">
        <v>643837</v>
      </c>
      <c r="C25" s="16" t="n">
        <v>107818</v>
      </c>
      <c r="D25" s="16" t="n">
        <v>89788</v>
      </c>
      <c r="E25" s="16" t="n">
        <v>54134</v>
      </c>
      <c r="F25" s="16" t="n">
        <v>76048</v>
      </c>
      <c r="G25" s="16" t="n">
        <v>42483</v>
      </c>
      <c r="H25" s="16" t="n">
        <v>22856</v>
      </c>
      <c r="I25" s="16" t="n">
        <v>393127</v>
      </c>
      <c r="J25" s="17" t="n">
        <v>1.64</v>
      </c>
      <c r="K25" s="15" t="n">
        <v>0</v>
      </c>
      <c r="L25" s="15" t="n">
        <v>140.6</v>
      </c>
      <c r="M25" s="19" t="n">
        <v>1</v>
      </c>
      <c r="N25" s="15" t="n">
        <v>1.02</v>
      </c>
    </row>
    <row r="26">
      <c r="A26" s="12" t="inlineStr">
        <is>
          <t>2025-11</t>
        </is>
      </c>
      <c r="B26" s="13" t="n">
        <v>1242545</v>
      </c>
      <c r="C26" s="13" t="n">
        <v>188258</v>
      </c>
      <c r="D26" s="13" t="n">
        <v>148088</v>
      </c>
      <c r="E26" s="13" t="n">
        <v>86134</v>
      </c>
      <c r="F26" s="13" t="n">
        <v>131609</v>
      </c>
      <c r="G26" s="13" t="n">
        <v>67211</v>
      </c>
      <c r="H26" s="13" t="n">
        <v>40687</v>
      </c>
      <c r="I26" s="13" t="n">
        <v>661987</v>
      </c>
      <c r="J26" s="14" t="n">
        <v>1.88</v>
      </c>
      <c r="K26" s="18" t="n">
        <v>1</v>
      </c>
      <c r="L26" s="12" t="n">
        <v>143.2</v>
      </c>
      <c r="M26" s="12" t="n">
        <v>0</v>
      </c>
      <c r="N26" s="12" t="n">
        <v>1.28</v>
      </c>
    </row>
    <row r="27">
      <c r="A27" s="15" t="inlineStr">
        <is>
          <t>2025-12</t>
        </is>
      </c>
      <c r="B27" s="16" t="n">
        <v>1516046</v>
      </c>
      <c r="C27" s="16" t="n">
        <v>247822</v>
      </c>
      <c r="D27" s="16" t="n">
        <v>171336</v>
      </c>
      <c r="E27" s="16" t="n">
        <v>113995</v>
      </c>
      <c r="F27" s="16" t="n">
        <v>150021</v>
      </c>
      <c r="G27" s="16" t="n">
        <v>89903</v>
      </c>
      <c r="H27" s="16" t="n">
        <v>51431</v>
      </c>
      <c r="I27" s="16" t="n">
        <v>824508</v>
      </c>
      <c r="J27" s="17" t="n">
        <v>1.84</v>
      </c>
      <c r="K27" s="18" t="n">
        <v>1</v>
      </c>
      <c r="L27" s="15" t="n">
        <v>142.2</v>
      </c>
      <c r="M27" s="15" t="n">
        <v>0</v>
      </c>
      <c r="N27" s="15" t="n">
        <v>1.5</v>
      </c>
    </row>
    <row r="28">
      <c r="A28" s="20" t="inlineStr">
        <is>
          <t>TOPLAM / ORT.</t>
        </is>
      </c>
      <c r="B28" s="21">
        <f>SUM(B4:B27)</f>
        <v/>
      </c>
      <c r="C28" s="21">
        <f>SUM(C4:C27)</f>
        <v/>
      </c>
      <c r="D28" s="21">
        <f>SUM(D4:D27)</f>
        <v/>
      </c>
      <c r="E28" s="21">
        <f>SUM(E4:E27)</f>
        <v/>
      </c>
      <c r="F28" s="21">
        <f>SUM(F4:F27)</f>
        <v/>
      </c>
      <c r="G28" s="21">
        <f>SUM(G4:G27)</f>
        <v/>
      </c>
      <c r="H28" s="21">
        <f>SUM(H4:H27)</f>
        <v/>
      </c>
      <c r="I28" s="21">
        <f>SUM(I4:I27)</f>
        <v/>
      </c>
      <c r="J28" s="22">
        <f>AVERAGE(J4:J27)</f>
        <v/>
      </c>
      <c r="K28" s="20">
        <f>SUM(K4:K27)</f>
        <v/>
      </c>
      <c r="L28" s="22">
        <f>AVERAGE(L4:L27)</f>
        <v/>
      </c>
      <c r="M28" s="20">
        <f>SUM(M4:M27)</f>
        <v/>
      </c>
      <c r="N28" s="22">
        <f>AVERAGE(N4:N27)</f>
        <v/>
      </c>
    </row>
  </sheetData>
  <mergeCells count="4">
    <mergeCell ref="C2:H2"/>
    <mergeCell ref="I2:J2"/>
    <mergeCell ref="K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8" customWidth="1" min="5" max="5"/>
    <col width="22" customWidth="1" min="6" max="6"/>
    <col width="22" customWidth="1" min="7" max="7"/>
    <col width="40" customWidth="1" min="8" max="8"/>
  </cols>
  <sheetData>
    <row r="1" ht="25" customHeight="1">
      <c r="A1" s="23" t="inlineStr">
        <is>
          <t>KANAL BAZLI PERFORMANS ÖZETİ (24 Aylık)</t>
        </is>
      </c>
    </row>
    <row r="2" ht="25" customHeight="1">
      <c r="A2" s="7" t="inlineStr">
        <is>
          <t>Reklam Kanalı</t>
        </is>
      </c>
      <c r="B2" s="7" t="inlineStr">
        <is>
          <t>Toplam Harcama (TL)</t>
        </is>
      </c>
      <c r="C2" s="7" t="inlineStr">
        <is>
          <t>Harcama Payı (%)</t>
        </is>
      </c>
      <c r="D2" s="7" t="inlineStr">
        <is>
          <t>Beta Katsayısı (MMM)</t>
        </is>
      </c>
      <c r="E2" s="7" t="inlineStr">
        <is>
          <t>Adstock Decay Rate</t>
        </is>
      </c>
      <c r="F2" s="7" t="inlineStr">
        <is>
          <t>Min. Aylık Bütçe (TL)</t>
        </is>
      </c>
      <c r="G2" s="7" t="inlineStr">
        <is>
          <t>Maks. Aylık Bütçe (TL)</t>
        </is>
      </c>
      <c r="H2" s="7" t="inlineStr">
        <is>
          <t>Notlar</t>
        </is>
      </c>
    </row>
    <row r="3">
      <c r="A3" s="24" t="inlineStr">
        <is>
          <t>Google Ads</t>
        </is>
      </c>
      <c r="B3" s="25">
        <f>SUM(Ana_Veri_Seti!C4:C27)</f>
        <v/>
      </c>
      <c r="C3" s="26">
        <f>B3/SUM(B3:B8)</f>
        <v/>
      </c>
      <c r="D3" s="27" t="n">
        <v>4.8</v>
      </c>
      <c r="E3" s="28" t="n">
        <v>0.6</v>
      </c>
      <c r="F3" s="29" t="n">
        <v>50000</v>
      </c>
      <c r="G3" s="29" t="n">
        <v>200000</v>
      </c>
      <c r="H3" s="30" t="inlineStr">
        <is>
          <t>Arama &amp; Display - En yüksek dönüşüm</t>
        </is>
      </c>
    </row>
    <row r="4">
      <c r="A4" s="24" t="inlineStr">
        <is>
          <t>Meta / Instagram</t>
        </is>
      </c>
      <c r="B4" s="25">
        <f>SUM(Ana_Veri_Seti!D4:D27)</f>
        <v/>
      </c>
      <c r="C4" s="26">
        <f>B4/SUM(B3:B8)</f>
        <v/>
      </c>
      <c r="D4" s="27" t="n">
        <v>3.9</v>
      </c>
      <c r="E4" s="28" t="n">
        <v>0.5</v>
      </c>
      <c r="F4" s="29" t="n">
        <v>40000</v>
      </c>
      <c r="G4" s="29" t="n">
        <v>160000</v>
      </c>
      <c r="H4" s="30" t="inlineStr">
        <is>
          <t>Görsel &amp; video - Yüksek erişim</t>
        </is>
      </c>
    </row>
    <row r="5">
      <c r="A5" s="24" t="inlineStr">
        <is>
          <t>YouTube</t>
        </is>
      </c>
      <c r="B5" s="25">
        <f>SUM(Ana_Veri_Seti!E4:E27)</f>
        <v/>
      </c>
      <c r="C5" s="26">
        <f>B5/SUM(B3:B8)</f>
        <v/>
      </c>
      <c r="D5" s="27" t="n">
        <v>3.2</v>
      </c>
      <c r="E5" s="28" t="n">
        <v>0.7</v>
      </c>
      <c r="F5" s="29" t="n">
        <v>25000</v>
      </c>
      <c r="G5" s="29" t="n">
        <v>120000</v>
      </c>
      <c r="H5" s="30" t="inlineStr">
        <is>
          <t>Video - Uzun vadeli marka etkisi (yüksek decay)</t>
        </is>
      </c>
    </row>
    <row r="6">
      <c r="A6" s="24" t="inlineStr">
        <is>
          <t>Pazaryeri Reklamları</t>
        </is>
      </c>
      <c r="B6" s="25">
        <f>SUM(Ana_Veri_Seti!F4:F27)</f>
        <v/>
      </c>
      <c r="C6" s="26">
        <f>B6/SUM(B3:B8)</f>
        <v/>
      </c>
      <c r="D6" s="27" t="n">
        <v>5.1</v>
      </c>
      <c r="E6" s="28" t="n">
        <v>0.4</v>
      </c>
      <c r="F6" s="29" t="n">
        <v>35000</v>
      </c>
      <c r="G6" s="29" t="n">
        <v>180000</v>
      </c>
      <c r="H6" s="30" t="inlineStr">
        <is>
          <t>En yüksek doğrudan satış katkısı</t>
        </is>
      </c>
    </row>
    <row r="7">
      <c r="A7" s="24" t="inlineStr">
        <is>
          <t>Influencer Marketing</t>
        </is>
      </c>
      <c r="B7" s="25">
        <f>SUM(Ana_Veri_Seti!G4:G27)</f>
        <v/>
      </c>
      <c r="C7" s="26">
        <f>B7/SUM(B3:B8)</f>
        <v/>
      </c>
      <c r="D7" s="27" t="n">
        <v>2.7</v>
      </c>
      <c r="E7" s="28" t="n">
        <v>0.3</v>
      </c>
      <c r="F7" s="29" t="n">
        <v>20000</v>
      </c>
      <c r="G7" s="29" t="n">
        <v>100000</v>
      </c>
      <c r="H7" s="30" t="inlineStr">
        <is>
          <t>Anlık etki - düşük gecikmeli etki</t>
        </is>
      </c>
    </row>
    <row r="8">
      <c r="A8" s="24" t="inlineStr">
        <is>
          <t>Twitter / X Ads</t>
        </is>
      </c>
      <c r="B8" s="25">
        <f>SUM(Ana_Veri_Seti!H4:H27)</f>
        <v/>
      </c>
      <c r="C8" s="26">
        <f>B8/SUM(B3:B8)</f>
        <v/>
      </c>
      <c r="D8" s="27" t="n">
        <v>1.8</v>
      </c>
      <c r="E8" s="28" t="n">
        <v>0.4</v>
      </c>
      <c r="F8" s="29" t="n">
        <v>10000</v>
      </c>
      <c r="G8" s="29" t="n">
        <v>60000</v>
      </c>
      <c r="H8" s="30" t="inlineStr">
        <is>
          <t>Düşük hacim, niş kitle hedefleme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48" customWidth="1" min="3" max="3"/>
    <col width="52" customWidth="1" min="4" max="4"/>
  </cols>
  <sheetData>
    <row r="1" ht="25" customHeight="1">
      <c r="A1" s="23" t="inlineStr">
        <is>
          <t>DEĞİŞKEN AÇIKLAMALARI VE NOTLAR</t>
        </is>
      </c>
    </row>
    <row r="2">
      <c r="A2" s="7" t="inlineStr">
        <is>
          <t>Değişken Adı</t>
        </is>
      </c>
      <c r="B2" s="7" t="inlineStr">
        <is>
          <t>Tür</t>
        </is>
      </c>
      <c r="C2" s="7" t="inlineStr">
        <is>
          <t>Açıklama</t>
        </is>
      </c>
      <c r="D2" s="7" t="inlineStr">
        <is>
          <t>Notlar / Kaynak</t>
        </is>
      </c>
    </row>
    <row r="3" ht="28" customHeight="1">
      <c r="A3" s="31" t="inlineStr">
        <is>
          <t>Ay</t>
        </is>
      </c>
      <c r="B3" s="32" t="inlineStr">
        <is>
          <t>Zaman</t>
        </is>
      </c>
      <c r="C3" s="33" t="inlineStr">
        <is>
          <t>Analiz dönemi (YYYY-AA)</t>
        </is>
      </c>
      <c r="D3" s="30" t="inlineStr">
        <is>
          <t>Ocak 2024 - Aralık 2025, aylık frekans, n=24</t>
        </is>
      </c>
    </row>
    <row r="4" ht="28" customHeight="1">
      <c r="A4" s="31" t="inlineStr">
        <is>
          <t>Ciro_TL</t>
        </is>
      </c>
      <c r="B4" s="32" t="inlineStr">
        <is>
          <t>Bağımlı Değişken</t>
        </is>
      </c>
      <c r="C4" s="33" t="inlineStr">
        <is>
          <t>Aylık toplam satış cirosu (TL)</t>
        </is>
      </c>
      <c r="D4" s="30" t="inlineStr">
        <is>
          <t>Ana hedef değişken — MMM modelinde Y</t>
        </is>
      </c>
    </row>
    <row r="5" ht="28" customHeight="1">
      <c r="A5" s="31" t="inlineStr">
        <is>
          <t>Google_Ads_Harcama_TL</t>
        </is>
      </c>
      <c r="B5" s="32" t="inlineStr">
        <is>
          <t>Bağımsız Değişken</t>
        </is>
      </c>
      <c r="C5" s="33" t="inlineStr">
        <is>
          <t>Google Ads aylık harcaması (TL)</t>
        </is>
      </c>
      <c r="D5" s="30" t="inlineStr">
        <is>
          <t>Arama + Display + Shopping kampanyaları</t>
        </is>
      </c>
    </row>
    <row r="6" ht="28" customHeight="1">
      <c r="A6" s="31" t="inlineStr">
        <is>
          <t>Meta_Harcama_TL</t>
        </is>
      </c>
      <c r="B6" s="32" t="inlineStr">
        <is>
          <t>Bağımsız Değişken</t>
        </is>
      </c>
      <c r="C6" s="33" t="inlineStr">
        <is>
          <t>Meta (FB &amp; Instagram) harcaması (TL)</t>
        </is>
      </c>
      <c r="D6" s="30" t="inlineStr">
        <is>
          <t>Feed, Story, Reels reklamları dahil</t>
        </is>
      </c>
    </row>
    <row r="7" ht="28" customHeight="1">
      <c r="A7" s="31" t="inlineStr">
        <is>
          <t>YouTube_Harcama_TL</t>
        </is>
      </c>
      <c r="B7" s="32" t="inlineStr">
        <is>
          <t>Bağımsız Değişken</t>
        </is>
      </c>
      <c r="C7" s="33" t="inlineStr">
        <is>
          <t>YouTube video reklam harcaması (TL)</t>
        </is>
      </c>
      <c r="D7" s="30" t="inlineStr">
        <is>
          <t>TrueView + Bumper Ads — yüksek adstock decay</t>
        </is>
      </c>
    </row>
    <row r="8" ht="28" customHeight="1">
      <c r="A8" s="31" t="inlineStr">
        <is>
          <t>Pazaryeri_Harcama_TL</t>
        </is>
      </c>
      <c r="B8" s="32" t="inlineStr">
        <is>
          <t>Bağımsız Değişken</t>
        </is>
      </c>
      <c r="C8" s="33" t="inlineStr">
        <is>
          <t>Trendyol/Hepsiburada reklam harcaması (TL)</t>
        </is>
      </c>
      <c r="D8" s="30" t="inlineStr">
        <is>
          <t>En yüksek beta katsayısı: 5.1</t>
        </is>
      </c>
    </row>
    <row r="9" ht="28" customHeight="1">
      <c r="A9" s="31" t="inlineStr">
        <is>
          <t>Influencer_Harcama_TL</t>
        </is>
      </c>
      <c r="B9" s="32" t="inlineStr">
        <is>
          <t>Bağımsız Değişken</t>
        </is>
      </c>
      <c r="C9" s="33" t="inlineStr">
        <is>
          <t>Influencer işbirlikleri aylık harcaması (TL)</t>
        </is>
      </c>
      <c r="D9" s="30" t="inlineStr">
        <is>
          <t>Makro + mikro influencer ödemeleri</t>
        </is>
      </c>
    </row>
    <row r="10" ht="28" customHeight="1">
      <c r="A10" s="31" t="inlineStr">
        <is>
          <t>Twitter_X_Harcama_TL</t>
        </is>
      </c>
      <c r="B10" s="32" t="inlineStr">
        <is>
          <t>Bağımsız Değişken</t>
        </is>
      </c>
      <c r="C10" s="33" t="inlineStr">
        <is>
          <t>Twitter/X reklam harcaması (TL)</t>
        </is>
      </c>
      <c r="D10" s="30" t="inlineStr">
        <is>
          <t>Promoted Tweets &amp; Trend Takeover</t>
        </is>
      </c>
    </row>
    <row r="11" ht="28" customHeight="1">
      <c r="A11" s="31" t="inlineStr">
        <is>
          <t>Toplam_Reklam_Harcamasi_TL</t>
        </is>
      </c>
      <c r="B11" s="32" t="inlineStr">
        <is>
          <t>Türetilmiş</t>
        </is>
      </c>
      <c r="C11" s="33" t="inlineStr">
        <is>
          <t>6 kanalın toplam aylık harcaması (TL)</t>
        </is>
      </c>
      <c r="D11" s="30" t="inlineStr">
        <is>
          <t>Bütçe kısıt değişkeni (B) olarak kullanılır</t>
        </is>
      </c>
    </row>
    <row r="12" ht="28" customHeight="1">
      <c r="A12" s="31" t="inlineStr">
        <is>
          <t>ROAS</t>
        </is>
      </c>
      <c r="B12" s="32" t="inlineStr">
        <is>
          <t>Performans Metriği</t>
        </is>
      </c>
      <c r="C12" s="33" t="inlineStr">
        <is>
          <t>Return on Ad Spend = Ciro / Toplam Harcama</t>
        </is>
      </c>
      <c r="D12" s="30" t="inlineStr">
        <is>
          <t>2.0 altı → bütçe verimsiz, 3.0 üstü → ideal</t>
        </is>
      </c>
    </row>
    <row r="13" ht="28" customHeight="1">
      <c r="A13" s="31" t="inlineStr">
        <is>
          <t>Kampanya_Donemi</t>
        </is>
      </c>
      <c r="B13" s="32" t="inlineStr">
        <is>
          <t>Kontrol Değişkeni (Binary)</t>
        </is>
      </c>
      <c r="C13" s="33" t="inlineStr">
        <is>
          <t>Büyük kampanya ayı (1=Var, 0=Yok)</t>
        </is>
      </c>
      <c r="D13" s="30" t="inlineStr">
        <is>
          <t>Yaz indirimi, Black Friday, Yılbaşı kampanyaları</t>
        </is>
      </c>
    </row>
    <row r="14" ht="28" customHeight="1">
      <c r="A14" s="31" t="inlineStr">
        <is>
          <t>Fiyat_Endeksi</t>
        </is>
      </c>
      <c r="B14" s="32" t="inlineStr">
        <is>
          <t>Kontrol Değişkeni (Sürekli)</t>
        </is>
      </c>
      <c r="C14" s="33" t="inlineStr">
        <is>
          <t>Ürün fiyat endeksi (Oca 2024 = 100)</t>
        </is>
      </c>
      <c r="D14" s="30" t="inlineStr">
        <is>
          <t>Enflasyon + fiyat stratejisi etkisi yansıtılmış</t>
        </is>
      </c>
    </row>
    <row r="15" ht="28" customHeight="1">
      <c r="A15" s="31" t="inlineStr">
        <is>
          <t>Stok_Yok</t>
        </is>
      </c>
      <c r="B15" s="32" t="inlineStr">
        <is>
          <t>Kontrol Değişkeni (Binary)</t>
        </is>
      </c>
      <c r="C15" s="33" t="inlineStr">
        <is>
          <t>Stok tükenmesi (1=Stok yok, 0=Normal)</t>
        </is>
      </c>
      <c r="D15" s="30" t="inlineStr">
        <is>
          <t>Satış kayıplarını modele doğru yansıtır</t>
        </is>
      </c>
    </row>
    <row r="16" ht="28" customHeight="1">
      <c r="A16" s="31" t="inlineStr">
        <is>
          <t>Mevsimsellik_Indeksi</t>
        </is>
      </c>
      <c r="B16" s="32" t="inlineStr">
        <is>
          <t>Kontrol Değişkeni (Sürekli)</t>
        </is>
      </c>
      <c r="C16" s="33" t="inlineStr">
        <is>
          <t>Mevsimsel talep çarpanı (1.0 = normal talep)</t>
        </is>
      </c>
      <c r="D16" s="30" t="inlineStr">
        <is>
          <t>Aralık: ~1.45-1.50 | Şubat: ~0.78</t>
        </is>
      </c>
    </row>
    <row r="17" ht="28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2026-03-28T09:02:55Z</dcterms:created>
  <dcterms:modified xmlns:dcterms="http://purl.org/dc/terms/" xmlns:xsi="http://www.w3.org/2001/XMLSchema-instance" xsi:type="dcterms:W3CDTF">2026-03-28T09:15:49Z</dcterms:modified>
</cp:coreProperties>
</file>